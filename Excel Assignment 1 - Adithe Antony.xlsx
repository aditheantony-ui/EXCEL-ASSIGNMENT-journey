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E:\excel documents\"/>
    </mc:Choice>
  </mc:AlternateContent>
  <xr:revisionPtr revIDLastSave="0" documentId="13_ncr:1_{26EF1383-708D-4FB2-9B46-06B52AF113C5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J2" i="2"/>
  <c r="I2" i="2"/>
  <c r="H2" i="2"/>
  <c r="P26" i="2"/>
  <c r="P25" i="2"/>
  <c r="P24" i="2"/>
  <c r="P21" i="2"/>
  <c r="P22" i="2"/>
  <c r="O16" i="2"/>
  <c r="O15" i="2"/>
  <c r="O13" i="2"/>
  <c r="O12" i="2"/>
  <c r="O11" i="2"/>
</calcChain>
</file>

<file path=xl/sharedStrings.xml><?xml version="1.0" encoding="utf-8"?>
<sst xmlns="http://schemas.openxmlformats.org/spreadsheetml/2006/main" count="174" uniqueCount="125">
  <si>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</si>
  <si>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</si>
  <si>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</si>
  <si>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</si>
  <si>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</si>
  <si>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</si>
  <si>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</si>
  <si>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</si>
  <si>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</si>
  <si>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</si>
  <si>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</si>
  <si>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</si>
  <si>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</si>
  <si>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</si>
  <si>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</si>
  <si>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</si>
  <si>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</si>
  <si>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</si>
  <si>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</si>
  <si>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</si>
  <si>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</si>
  <si>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</si>
  <si>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</si>
  <si>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</si>
  <si>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</si>
  <si>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</si>
  <si>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</si>
  <si>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</si>
  <si>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</si>
  <si>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</si>
  <si>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</si>
  <si>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</si>
  <si>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</si>
  <si>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</si>
  <si>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</si>
  <si>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</si>
  <si>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</si>
  <si>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</si>
  <si>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</si>
  <si>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</si>
  <si>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</si>
  <si>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</si>
  <si>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</si>
  <si>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</si>
  <si>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</si>
  <si>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</si>
  <si>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</si>
  <si>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</si>
  <si>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</si>
  <si>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</si>
  <si>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</si>
  <si>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</si>
  <si>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</si>
  <si>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</si>
  <si>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</si>
  <si>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</si>
  <si>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</si>
  <si>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</si>
  <si>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</si>
  <si>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</si>
  <si>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</si>
  <si>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</si>
  <si>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</si>
  <si>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</si>
  <si>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</si>
  <si>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</si>
  <si>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</si>
  <si>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</si>
  <si>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</si>
  <si>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</si>
  <si>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</si>
  <si>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</si>
  <si>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</si>
  <si>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</si>
  <si>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</si>
  <si>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</si>
  <si>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</si>
  <si>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</si>
  <si>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</si>
  <si>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</si>
  <si>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</si>
  <si>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</si>
  <si>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</si>
  <si>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</si>
  <si>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</si>
  <si>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</si>
  <si>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</si>
  <si>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</si>
  <si>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</si>
  <si>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</si>
  <si>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</si>
  <si>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</si>
  <si>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</si>
  <si>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</si>
  <si>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</si>
  <si>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</si>
  <si>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</si>
  <si>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</si>
  <si>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</si>
  <si>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</si>
  <si>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</si>
  <si>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</si>
  <si>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</si>
  <si>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</si>
  <si>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</si>
  <si>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</si>
  <si>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</si>
  <si>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</si>
  <si>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</si>
  <si>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</si>
  <si>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1)sum</t>
  </si>
  <si>
    <t>1) Count</t>
  </si>
  <si>
    <t>1) Average</t>
  </si>
  <si>
    <t>2) min</t>
  </si>
  <si>
    <t>2)Max</t>
  </si>
  <si>
    <t>Price Range</t>
  </si>
  <si>
    <t>COUNTIF</t>
  </si>
  <si>
    <t>SUMIF</t>
  </si>
  <si>
    <t>5) Left</t>
  </si>
  <si>
    <t>5) Right</t>
  </si>
  <si>
    <t>5) Mid</t>
  </si>
  <si>
    <t>Day</t>
  </si>
  <si>
    <t>country code</t>
  </si>
  <si>
    <t>Month</t>
  </si>
  <si>
    <t>4) 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</si>
</sst>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A19" sqref="A19:L22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abSelected="1" topLeftCell="J9" zoomScale="110" workbookViewId="0">
      <selection activeCell="N22" sqref="N22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15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115</v>
      </c>
      <c r="H1" s="5" t="s">
        <v>121</v>
      </c>
      <c r="I1" s="5" t="s">
        <v>122</v>
      </c>
      <c r="J1" s="5" t="s">
        <v>123</v>
      </c>
    </row>
    <row r="2" spans="1:15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5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 t="str">
        <f>IF(D3&gt;=500,"High Price","Standard Price")</f>
        <v>Standard Price</v>
      </c>
      <c r="H3" t="str">
        <f t="shared" ref="H3:H35" si="0">LEFT(A3,2)</f>
        <v>15</v>
      </c>
      <c r="I3" t="str">
        <f t="shared" ref="I3:I35" si="1">RIGHT(A3,2)</f>
        <v>US</v>
      </c>
      <c r="J3" t="str">
        <f t="shared" ref="J3:J35" si="2">MID(A3,4,3)</f>
        <v>FEB</v>
      </c>
    </row>
    <row r="4" spans="1:15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 t="shared" ref="G3:G35" si="3">IF(D4&gt;=500,"High Price","Standard Price")</f>
        <v>Standard Price</v>
      </c>
      <c r="H4" t="str">
        <f t="shared" si="0"/>
        <v>03</v>
      </c>
      <c r="I4" t="str">
        <f t="shared" si="1"/>
        <v>US</v>
      </c>
      <c r="J4" t="str">
        <f t="shared" si="2"/>
        <v>MAR</v>
      </c>
    </row>
    <row r="5" spans="1:15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 t="str">
        <f t="shared" si="3"/>
        <v>High Price</v>
      </c>
      <c r="H5" t="str">
        <f t="shared" si="0"/>
        <v>11</v>
      </c>
      <c r="I5" t="str">
        <f t="shared" si="1"/>
        <v>US</v>
      </c>
      <c r="J5" t="str">
        <f t="shared" si="2"/>
        <v>APR</v>
      </c>
    </row>
    <row r="6" spans="1:15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 t="shared" si="3"/>
        <v>Standard Price</v>
      </c>
      <c r="H6" t="str">
        <f t="shared" si="0"/>
        <v>22</v>
      </c>
      <c r="I6" t="str">
        <f t="shared" si="1"/>
        <v>US</v>
      </c>
      <c r="J6" t="str">
        <f t="shared" si="2"/>
        <v>MAY</v>
      </c>
    </row>
    <row r="7" spans="1:15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 t="str">
        <f t="shared" si="3"/>
        <v>Standard Price</v>
      </c>
      <c r="H7" t="str">
        <f t="shared" si="0"/>
        <v>07</v>
      </c>
      <c r="I7" t="str">
        <f t="shared" si="1"/>
        <v>UK</v>
      </c>
      <c r="J7" t="str">
        <f t="shared" si="2"/>
        <v>JUN</v>
      </c>
    </row>
    <row r="8" spans="1:15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 t="shared" si="3"/>
        <v>Standard Price</v>
      </c>
      <c r="H8" t="str">
        <f t="shared" si="0"/>
        <v>19</v>
      </c>
      <c r="I8" t="str">
        <f t="shared" si="1"/>
        <v>UK</v>
      </c>
      <c r="J8" t="str">
        <f t="shared" si="2"/>
        <v>JUL</v>
      </c>
    </row>
    <row r="9" spans="1:15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 t="str">
        <f t="shared" si="3"/>
        <v>Standard Price</v>
      </c>
      <c r="H9" t="str">
        <f t="shared" si="0"/>
        <v>23</v>
      </c>
      <c r="I9" t="str">
        <f t="shared" si="1"/>
        <v>UK</v>
      </c>
      <c r="J9" t="str">
        <f t="shared" si="2"/>
        <v>AUG</v>
      </c>
    </row>
    <row r="10" spans="1:15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 t="shared" si="3"/>
        <v>High Price</v>
      </c>
      <c r="H10" t="str">
        <f t="shared" si="0"/>
        <v>05</v>
      </c>
      <c r="I10" t="str">
        <f t="shared" si="1"/>
        <v>UK</v>
      </c>
      <c r="J10" t="str">
        <f t="shared" si="2"/>
        <v>SEP</v>
      </c>
    </row>
    <row r="11" spans="1:15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 t="str">
        <f t="shared" si="3"/>
        <v>Standard Price</v>
      </c>
      <c r="H11" t="str">
        <f t="shared" si="0"/>
        <v>14</v>
      </c>
      <c r="I11" t="str">
        <f t="shared" si="1"/>
        <v>UK</v>
      </c>
      <c r="J11" t="str">
        <f t="shared" si="2"/>
        <v>OCT</v>
      </c>
      <c r="N11" t="s">
        <v>110</v>
      </c>
      <c r="O11">
        <f>SUM(D2:D35)</f>
        <v>10100</v>
      </c>
    </row>
    <row r="12" spans="1:15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 t="shared" si="3"/>
        <v>High Price</v>
      </c>
      <c r="H12" t="str">
        <f t="shared" si="0"/>
        <v>17</v>
      </c>
      <c r="I12" t="str">
        <f t="shared" si="1"/>
        <v>IN</v>
      </c>
      <c r="J12" t="str">
        <f t="shared" si="2"/>
        <v>JUN</v>
      </c>
      <c r="N12" t="s">
        <v>111</v>
      </c>
      <c r="O12">
        <f>COUNTA(A2:A35)</f>
        <v>34</v>
      </c>
    </row>
    <row r="13" spans="1:15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 t="str">
        <f t="shared" si="3"/>
        <v>Standard Price</v>
      </c>
      <c r="H13" t="str">
        <f t="shared" si="0"/>
        <v>25</v>
      </c>
      <c r="I13" t="str">
        <f t="shared" si="1"/>
        <v>AU</v>
      </c>
      <c r="J13" t="str">
        <f t="shared" si="2"/>
        <v>NOV</v>
      </c>
      <c r="N13" t="s">
        <v>112</v>
      </c>
      <c r="O13">
        <f>AVERAGE(D2:D35)</f>
        <v>297.05882352941177</v>
      </c>
    </row>
    <row r="14" spans="1:15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 t="shared" si="3"/>
        <v>Standard Price</v>
      </c>
      <c r="H14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5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 t="str">
        <f t="shared" si="3"/>
        <v>Standard Price</v>
      </c>
      <c r="H15" t="str">
        <f t="shared" si="0"/>
        <v>18</v>
      </c>
      <c r="I15" t="str">
        <f t="shared" si="1"/>
        <v>CA</v>
      </c>
      <c r="J15" t="str">
        <f t="shared" si="2"/>
        <v>FEB</v>
      </c>
      <c r="N15" t="s">
        <v>113</v>
      </c>
      <c r="O15">
        <f>MIN(D2:D35)</f>
        <v>30</v>
      </c>
    </row>
    <row r="16" spans="1:15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 t="shared" si="3"/>
        <v>Standard Price</v>
      </c>
      <c r="H16" t="str">
        <f t="shared" si="0"/>
        <v>16</v>
      </c>
      <c r="I16" t="str">
        <f t="shared" si="1"/>
        <v>ES</v>
      </c>
      <c r="J16" t="str">
        <f t="shared" si="2"/>
        <v>APR</v>
      </c>
      <c r="N16" t="s">
        <v>114</v>
      </c>
      <c r="O16">
        <f>MAX(D2:D35)</f>
        <v>1000</v>
      </c>
    </row>
    <row r="17" spans="1:16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 t="str">
        <f t="shared" si="3"/>
        <v>Standard Price</v>
      </c>
      <c r="H17" t="str">
        <f t="shared" si="0"/>
        <v>21</v>
      </c>
      <c r="I17" t="str">
        <f t="shared" si="1"/>
        <v>CA</v>
      </c>
      <c r="J17" t="str">
        <f t="shared" si="2"/>
        <v>AUG</v>
      </c>
    </row>
    <row r="18" spans="1:16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 t="shared" si="3"/>
        <v>Standard Price</v>
      </c>
      <c r="H18" t="str">
        <f t="shared" si="0"/>
        <v>20</v>
      </c>
      <c r="I18" t="str">
        <f t="shared" si="1"/>
        <v>CN</v>
      </c>
      <c r="J18" t="str">
        <f t="shared" si="2"/>
        <v>AUG</v>
      </c>
    </row>
    <row r="19" spans="1:16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 t="str">
        <f t="shared" si="3"/>
        <v>High Price</v>
      </c>
      <c r="H19" t="str">
        <f t="shared" si="0"/>
        <v>27</v>
      </c>
      <c r="I19" t="str">
        <f t="shared" si="1"/>
        <v>IT</v>
      </c>
      <c r="J19" t="str">
        <f t="shared" si="2"/>
        <v>JAN</v>
      </c>
    </row>
    <row r="20" spans="1:16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 t="shared" si="3"/>
        <v>Standard Price</v>
      </c>
      <c r="H20" t="str">
        <f t="shared" si="0"/>
        <v>01</v>
      </c>
      <c r="I20" t="str">
        <f t="shared" si="1"/>
        <v>UK</v>
      </c>
      <c r="J20" t="str">
        <f t="shared" si="2"/>
        <v>MAR</v>
      </c>
      <c r="N20" t="s">
        <v>124</v>
      </c>
    </row>
    <row r="21" spans="1:16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 t="str">
        <f t="shared" si="3"/>
        <v>Standard Price</v>
      </c>
      <c r="H21" t="str">
        <f t="shared" si="0"/>
        <v>14</v>
      </c>
      <c r="I21" t="str">
        <f t="shared" si="1"/>
        <v>US</v>
      </c>
      <c r="J21" t="str">
        <f t="shared" si="2"/>
        <v>AUG</v>
      </c>
      <c r="O21" t="s">
        <v>117</v>
      </c>
      <c r="P21">
        <f>SUMIF(F2:F35,"Electronics",D2:D35)</f>
        <v>8050</v>
      </c>
    </row>
    <row r="22" spans="1:16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 t="shared" si="3"/>
        <v>High Price</v>
      </c>
      <c r="H22" t="str">
        <f t="shared" si="0"/>
        <v>14</v>
      </c>
      <c r="I22" t="str">
        <f t="shared" si="1"/>
        <v>RU</v>
      </c>
      <c r="J22" t="str">
        <f t="shared" si="2"/>
        <v>MAY</v>
      </c>
      <c r="O22" t="s">
        <v>116</v>
      </c>
      <c r="P22">
        <f>COUNTIF(D2:D35,"&lt;100")</f>
        <v>11</v>
      </c>
    </row>
    <row r="23" spans="1:16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 t="str">
        <f t="shared" si="3"/>
        <v>Standard Price</v>
      </c>
      <c r="H23" t="str">
        <f t="shared" si="0"/>
        <v>09</v>
      </c>
      <c r="I23" t="str">
        <f t="shared" si="1"/>
        <v>CA</v>
      </c>
      <c r="J23" t="str">
        <f t="shared" si="2"/>
        <v>JAN</v>
      </c>
    </row>
    <row r="24" spans="1:16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 t="shared" si="3"/>
        <v>Standard Price</v>
      </c>
      <c r="H24" t="str">
        <f t="shared" si="0"/>
        <v>19</v>
      </c>
      <c r="I24" t="str">
        <f t="shared" si="1"/>
        <v>BR</v>
      </c>
      <c r="J24" t="str">
        <f t="shared" si="2"/>
        <v>JUL</v>
      </c>
      <c r="N24" t="s">
        <v>118</v>
      </c>
      <c r="P24" t="str">
        <f>LEFT(A2,2)</f>
        <v>28</v>
      </c>
    </row>
    <row r="25" spans="1:16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6" t="str">
        <f t="shared" si="3"/>
        <v>Standard Price</v>
      </c>
      <c r="H25" t="str">
        <f t="shared" si="0"/>
        <v>21</v>
      </c>
      <c r="I25" t="str">
        <f t="shared" si="1"/>
        <v>CA</v>
      </c>
      <c r="J25" t="str">
        <f t="shared" si="2"/>
        <v>AUG</v>
      </c>
      <c r="N25" t="s">
        <v>119</v>
      </c>
      <c r="P25" t="str">
        <f>RIGHT(A2,2)</f>
        <v>US</v>
      </c>
    </row>
    <row r="26" spans="1:16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 t="shared" si="3"/>
        <v>High Price</v>
      </c>
      <c r="H26" t="str">
        <f t="shared" si="0"/>
        <v>29</v>
      </c>
      <c r="I26" t="str">
        <f t="shared" si="1"/>
        <v>CA</v>
      </c>
      <c r="J26" t="str">
        <f t="shared" si="2"/>
        <v>SEP</v>
      </c>
      <c r="N26" t="s">
        <v>120</v>
      </c>
      <c r="P26" t="str">
        <f>MID(A2,4,3)</f>
        <v>JAN</v>
      </c>
    </row>
    <row r="27" spans="1:16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 t="str">
        <f t="shared" si="3"/>
        <v>Standard Price</v>
      </c>
      <c r="H27" t="str">
        <f t="shared" si="0"/>
        <v>03</v>
      </c>
      <c r="I27" t="str">
        <f t="shared" si="1"/>
        <v>CA</v>
      </c>
      <c r="J27" t="str">
        <f t="shared" si="2"/>
        <v>JUN</v>
      </c>
    </row>
    <row r="28" spans="1:16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 t="shared" si="3"/>
        <v>Standard Price</v>
      </c>
      <c r="H28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6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6" t="str">
        <f t="shared" si="3"/>
        <v>Standard Price</v>
      </c>
      <c r="H29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6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 t="shared" si="3"/>
        <v>Standard Price</v>
      </c>
      <c r="H30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6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 t="str">
        <f t="shared" si="3"/>
        <v>Standard Price</v>
      </c>
      <c r="H31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6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 t="shared" si="3"/>
        <v>Standard Price</v>
      </c>
      <c r="H32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 t="str">
        <f t="shared" si="3"/>
        <v>Standard Price</v>
      </c>
      <c r="H33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 t="shared" si="3"/>
        <v>High Price</v>
      </c>
      <c r="H34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 t="str">
        <f t="shared" si="3"/>
        <v>Standard Price</v>
      </c>
      <c r="H35" t="str">
        <f t="shared" si="0"/>
        <v>09</v>
      </c>
      <c r="I35" t="str">
        <f t="shared" si="1"/>
        <v>FR</v>
      </c>
      <c r="J35" t="str">
        <f t="shared" si="2"/>
        <v>JUL</v>
      </c>
    </row>
    <row r="36" spans="1:10" ht="15.75" customHeight="1" x14ac:dyDescent="0.25"/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  <row r="44" spans="1:10" ht="15.75" customHeight="1" x14ac:dyDescent="0.25"/>
    <row r="45" spans="1:10" ht="15.75" customHeight="1" x14ac:dyDescent="0.25"/>
    <row r="46" spans="1:10" ht="15.75" customHeight="1" x14ac:dyDescent="0.25"/>
    <row r="47" spans="1:10" ht="15.75" customHeight="1" x14ac:dyDescent="0.25"/>
    <row r="48" spans="1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</dc:creator>
  <cp:lastModifiedBy>Adith Antony</cp:lastModifiedBy>
  <dcterms:created xsi:type="dcterms:W3CDTF">2026-10-28T08:49:36Z</dcterms:created>
  <dcterms:modified xsi:type="dcterms:W3CDTF">2026-10-28T13:10:54Z</dcterms:modified>
</cp:coreProperties>
</file>